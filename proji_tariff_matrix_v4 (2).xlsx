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6310e74174d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арифная матрица" sheetId="1" r:id="R2ff3bcbfb142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₸&quot;"/>
  </x:numFmts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11827"/>
      <x:name val="Carlito"/>
    </x:font>
    <x:font>
      <x:b/>
      <x:sz val="11"/>
      <x:color rgb="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FEF3C7"/>
      </x:patternFill>
    </x:fill>
    <x:fill>
      <x:patternFill patternType="solid">
        <x:fgColor rgb="0F766E"/>
      </x:patternFill>
    </x:fill>
    <x:fill>
      <x:patternFill patternType="solid">
        <x:fgColor rgb="E0F2FE"/>
      </x:patternFill>
    </x:fill>
    <x:fill>
      <x:patternFill patternType="solid">
        <x:fgColor rgb="ECFDF5"/>
      </x:patternFill>
    </x:fill>
    <x:fill>
      <x:patternFill patternType="solid">
        <x:fgColor rgb="FFF7ED"/>
      </x:patternFill>
    </x:fill>
    <x:fill>
      <x:patternFill patternType="solid">
        <x:fgColor rgb="F5F3FF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20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200" fontId="2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color rgb="9CA3AF"/>
      </x:font>
      <x:fill>
        <x:patternFill patternType="solid">
          <x:bgColor rgb="F3F4F6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BE185D"/>
      </x:font>
      <x:fill>
        <x:patternFill patternType="solid">
          <x:bgColor rgb="FCE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66bbd90d3d4655" /><Relationship Type="http://schemas.openxmlformats.org/officeDocument/2006/relationships/theme" Target="/xl/theme/theme1.xml" Id="R342eb73176fb4525" /><Relationship Type="http://schemas.openxmlformats.org/officeDocument/2006/relationships/sharedStrings" Target="/xl/sharedStrings.xml" Id="Rb1804b3dc0b34fcf" /><Relationship Type="http://schemas.openxmlformats.org/officeDocument/2006/relationships/worksheet" Target="/xl/worksheets/sheet1.xml" Id="R2ff3bcbfb142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19.200000762939453" hidden="0" customHeight="1">
      <x:c r="A1" s="5" t="str">
        <x:v>Proji — единая тарифная матрица: функции, лимиты и пакеты решений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 customHeight="1">
      <x:c r="A2" s="12" t="str">
        <x:v>Расчёт для пользователей:</x:v>
      </x:c>
      <x:c r="B2" s="17" t="n">
        <x:v>10</x:v>
      </x:c>
      <x:c r="C2" s="12" t="str">
        <x:v>Тариф считается за каждого пользователя с первого пользователя: цена/польз. × количество пользователей.</x:v>
      </x:c>
      <x:c r="D2" s="12"/>
      <x:c r="E2" s="12"/>
      <x:c r="F2" s="12"/>
      <x:c r="G2" s="12"/>
      <x:c r="H2" s="12"/>
      <x:c r="I2" s="12"/>
      <x:c r="J2" s="12"/>
    </x:row>
    <x:row r="3" ht="26.399999618530273" hidden="0" customHeight="1">
      <x:c r="A3" s="24" t="str">
        <x:v>Блок</x:v>
      </x:c>
      <x:c r="B3" s="24" t="str">
        <x:v>Параметр / функция</x:v>
      </x:c>
      <x:c r="C3" s="24" t="str">
        <x:v>Free
0 ₸</x:v>
      </x:c>
      <x:c r="D3" s="24" t="str">
        <x:v>Basic
5 000 ₸</x:v>
      </x:c>
      <x:c r="E3" s="24" t="str">
        <x:v>Pro
10 000 ₸</x:v>
      </x:c>
      <x:c r="F3" s="24" t="str">
        <x:v>Coordinator
20 000 ₸</x:v>
      </x:c>
      <x:c r="G3" s="24" t="str">
        <x:v>Manager
50 000 ₸</x:v>
      </x:c>
      <x:c r="H3" s="24" t="str">
        <x:v>Director
100 000 ₸</x:v>
      </x:c>
      <x:c r="I3" s="24" t="str">
        <x:v>Enterprise Owner
500 000 ₸</x:v>
      </x:c>
      <x:c r="J3" s="24" t="str">
        <x:v>Strategic AI Partner
1 000 000 ₸</x:v>
      </x:c>
    </x:row>
    <x:row r="4" ht="15" hidden="0" customHeight="1">
      <x:c r="A4" s="40" t="str">
        <x:v>Тариф</x:v>
      </x:c>
      <x:c r="B4" s="40" t="str">
        <x:v>Цена за 1 пользователя / месяц, ₸</x:v>
      </x:c>
      <x:c r="C4" s="41" t="n">
        <x:v>0</x:v>
      </x:c>
      <x:c r="D4" s="41" t="n">
        <x:v>5000</x:v>
      </x:c>
      <x:c r="E4" s="41" t="n">
        <x:v>10000</x:v>
      </x:c>
      <x:c r="F4" s="41" t="n">
        <x:v>20000</x:v>
      </x:c>
      <x:c r="G4" s="41" t="n">
        <x:v>50000</x:v>
      </x:c>
      <x:c r="H4" s="41" t="n">
        <x:v>100000</x:v>
      </x:c>
      <x:c r="I4" s="41" t="n">
        <x:v>500000</x:v>
      </x:c>
      <x:c r="J4" s="41" t="n">
        <x:v>1000000</x:v>
      </x:c>
    </x:row>
    <x:row r="5" ht="39.599998474121094" hidden="0" customHeight="1">
      <x:c r="A5" s="36" t="str">
        <x:v>Тариф</x:v>
      </x:c>
      <x:c r="B5" s="36" t="str">
        <x:v>Правило расчёта</x:v>
      </x:c>
      <x:c r="C5" s="36" t="str">
        <x:v>Цена считается с 1-го пользователя: тариф × число пользователей</x:v>
      </x:c>
      <x:c r="D5" s="36" t="str">
        <x:v>Цена считается с 1-го пользователя: тариф × число пользователей</x:v>
      </x:c>
      <x:c r="E5" s="36" t="str">
        <x:v>Цена считается с 1-го пользователя: тариф × число пользователей</x:v>
      </x:c>
      <x:c r="F5" s="36" t="str">
        <x:v>Цена считается с 1-го пользователя: тариф × число пользователей</x:v>
      </x:c>
      <x:c r="G5" s="36" t="str">
        <x:v>Цена считается с 1-го пользователя: тариф × число пользователей</x:v>
      </x:c>
      <x:c r="H5" s="36" t="str">
        <x:v>Цена считается с 1-го пользователя: тариф × число пользователей</x:v>
      </x:c>
      <x:c r="I5" s="36" t="str">
        <x:v>Цена считается с 1-го пользователя: тариф × число пользователей</x:v>
      </x:c>
      <x:c r="J5" s="36" t="str">
        <x:v>Цена считается с 1-го пользователя: тариф × число пользователей</x:v>
      </x:c>
    </x:row>
    <x:row r="6" ht="39.599998474121094" hidden="0" customHeight="1">
      <x:c r="A6" s="36" t="str">
        <x:v>Тариф</x:v>
      </x:c>
      <x:c r="B6" s="36" t="str">
        <x:v>Кому подходит</x:v>
      </x:c>
      <x:c r="C6" s="36" t="str">
        <x:v>Линейный сотрудник: видит свои задачи</x:v>
      </x:c>
      <x:c r="D6" s="36" t="str">
        <x:v>Исполнитель: задачи, комментарии, доказательства</x:v>
      </x:c>
      <x:c r="E6" s="36" t="str">
        <x:v>Активный сотрудник: цели, задачи, AI-помощь</x:v>
      </x:c>
      <x:c r="F6" s="36" t="str">
        <x:v>Координатор: команда, приоритеты, статусы</x:v>
      </x:c>
      <x:c r="G6" s="36" t="str">
        <x:v>Руководитель: обязательства, договоры, качество</x:v>
      </x:c>
      <x:c r="H6" s="36" t="str">
        <x:v>Директор / CFO / COO: расходы, риски, KPI</x:v>
      </x:c>
      <x:c r="I6" s="36" t="str">
        <x:v>Владелец контуров: договоры, финансы, интеграции</x:v>
      </x:c>
      <x:c r="J6" s="36" t="str">
        <x:v>Стратегический контур: мультикомпания, benchmark, кастом</x:v>
      </x:c>
    </x:row>
    <x:row r="7" ht="26.399999618530273" hidden="0" customHeight="1">
      <x:c r="A7" s="36" t="str">
        <x:v>Тариф</x:v>
      </x:c>
      <x:c r="B7" s="36" t="str">
        <x:v>Пакет пользователей по умолчанию</x:v>
      </x:c>
      <x:c r="C7" s="36" t="str">
        <x:v>без оплаты</x:v>
      </x:c>
      <x:c r="D7" s="36" t="str">
        <x:v>любой состав</x:v>
      </x:c>
      <x:c r="E7" s="36" t="str">
        <x:v>любой состав</x:v>
      </x:c>
      <x:c r="F7" s="36" t="str">
        <x:v>5+ пользователей</x:v>
      </x:c>
      <x:c r="G7" s="36" t="str">
        <x:v>3+ менеджера</x:v>
      </x:c>
      <x:c r="H7" s="36" t="str">
        <x:v>1–5 топ-ролей</x:v>
      </x:c>
      <x:c r="I7" s="36" t="str">
        <x:v>1 владелец контура</x:v>
      </x:c>
      <x:c r="J7" s="36" t="str">
        <x:v>1 стратегический аккаунт</x:v>
      </x:c>
    </x:row>
    <x:row r="8" ht="15" hidden="0" customHeight="1">
      <x:c r="A8" s="36" t="str">
        <x:v>Тариф</x:v>
      </x:c>
      <x:c r="B8" s="36" t="str">
        <x:v>Итого за выбранное число пользователей</x:v>
      </x:c>
      <x:c r="C8" s="37" t="n">
        <x:f>C$4*$B$2</x:f>
        <x:v>0</x:v>
      </x:c>
      <x:c r="D8" s="37" t="n">
        <x:f>D$4*$B$2</x:f>
        <x:v>50000</x:v>
      </x:c>
      <x:c r="E8" s="37" t="n">
        <x:f>E$4*$B$2</x:f>
        <x:v>100000</x:v>
      </x:c>
      <x:c r="F8" s="37" t="n">
        <x:f>F$4*$B$2</x:f>
        <x:v>200000</x:v>
      </x:c>
      <x:c r="G8" s="37" t="n">
        <x:f>G$4*$B$2</x:f>
        <x:v>500000</x:v>
      </x:c>
      <x:c r="H8" s="37" t="n">
        <x:f>H$4*$B$2</x:f>
        <x:v>1000000</x:v>
      </x:c>
      <x:c r="I8" s="37" t="n">
        <x:f>I$4*$B$2</x:f>
        <x:v>5000000</x:v>
      </x:c>
      <x:c r="J8" s="37" t="n">
        <x:f>J$4*$B$2</x:f>
        <x:v>10000000</x:v>
      </x:c>
    </x:row>
    <x:row r="9" ht="15" hidden="0" customHeight="1">
      <x:c r="A9" s="36" t="str">
        <x:v>Тариф</x:v>
      </x:c>
      <x:c r="B9" s="36" t="str">
        <x:v>Итого за 20 пользователей</x:v>
      </x:c>
      <x:c r="C9" s="37" t="n">
        <x:f>C$4*20</x:f>
        <x:v>0</x:v>
      </x:c>
      <x:c r="D9" s="37" t="n">
        <x:f>D$4*20</x:f>
        <x:v>100000</x:v>
      </x:c>
      <x:c r="E9" s="37" t="n">
        <x:f>E$4*20</x:f>
        <x:v>200000</x:v>
      </x:c>
      <x:c r="F9" s="37" t="n">
        <x:f>F$4*20</x:f>
        <x:v>400000</x:v>
      </x:c>
      <x:c r="G9" s="37" t="n">
        <x:f>G$4*20</x:f>
        <x:v>1000000</x:v>
      </x:c>
      <x:c r="H9" s="37" t="n">
        <x:f>H$4*20</x:f>
        <x:v>2000000</x:v>
      </x:c>
      <x:c r="I9" s="37" t="n">
        <x:f>I$4*20</x:f>
        <x:v>10000000</x:v>
      </x:c>
      <x:c r="J9" s="37" t="n">
        <x:f>J$4*20</x:f>
        <x:v>20000000</x:v>
      </x:c>
    </x:row>
    <x:row r="10" ht="15" hidden="0" customHeight="1">
      <x:c r="A10" s="46" t="str">
        <x:v>Лимиты</x:v>
      </x:c>
      <x:c r="B10" s="46" t="str">
        <x:v>AI-запросы / мес</x:v>
      </x:c>
      <x:c r="C10" s="46" t="str">
        <x:v>10</x:v>
      </x:c>
      <x:c r="D10" s="46" t="str">
        <x:v>100</x:v>
      </x:c>
      <x:c r="E10" s="46" t="str">
        <x:v>300</x:v>
      </x:c>
      <x:c r="F10" s="46" t="str">
        <x:v>800</x:v>
      </x:c>
      <x:c r="G10" s="46" t="str">
        <x:v>2 000</x:v>
      </x:c>
      <x:c r="H10" s="46" t="str">
        <x:v>5 000</x:v>
      </x:c>
      <x:c r="I10" s="46" t="str">
        <x:v>20 000</x:v>
      </x:c>
      <x:c r="J10" s="46" t="str">
        <x:v>по договору</x:v>
      </x:c>
    </x:row>
    <x:row r="11" ht="15" hidden="0" customHeight="1">
      <x:c r="A11" s="44" t="str">
        <x:v>Лимиты</x:v>
      </x:c>
      <x:c r="B11" s="44" t="str">
        <x:v>AI-действия / мес</x:v>
      </x:c>
      <x:c r="C11" s="44" t="str">
        <x:v>5</x:v>
      </x:c>
      <x:c r="D11" s="44" t="str">
        <x:v>50</x:v>
      </x:c>
      <x:c r="E11" s="44" t="str">
        <x:v>150</x:v>
      </x:c>
      <x:c r="F11" s="44" t="str">
        <x:v>400</x:v>
      </x:c>
      <x:c r="G11" s="44" t="str">
        <x:v>1 000</x:v>
      </x:c>
      <x:c r="H11" s="44" t="str">
        <x:v>3 000</x:v>
      </x:c>
      <x:c r="I11" s="44" t="str">
        <x:v>10 000</x:v>
      </x:c>
      <x:c r="J11" s="44" t="str">
        <x:v>по договору</x:v>
      </x:c>
    </x:row>
    <x:row r="12" ht="15" hidden="0" customHeight="1">
      <x:c r="A12" s="44" t="str">
        <x:v>Лимиты</x:v>
      </x:c>
      <x:c r="B12" s="44" t="str">
        <x:v>Активные цели / обязательства</x:v>
      </x:c>
      <x:c r="C12" s="44" t="str">
        <x:v>3</x:v>
      </x:c>
      <x:c r="D12" s="44" t="str">
        <x:v>10</x:v>
      </x:c>
      <x:c r="E12" s="44" t="str">
        <x:v>30</x:v>
      </x:c>
      <x:c r="F12" s="44" t="str">
        <x:v>75</x:v>
      </x:c>
      <x:c r="G12" s="44" t="str">
        <x:v>200</x:v>
      </x:c>
      <x:c r="H12" s="44" t="str">
        <x:v>500</x:v>
      </x:c>
      <x:c r="I12" s="44" t="str">
        <x:v>2 000</x:v>
      </x:c>
      <x:c r="J12" s="44" t="str">
        <x:v>по договору</x:v>
      </x:c>
    </x:row>
    <x:row r="13" ht="15" hidden="0" customHeight="1">
      <x:c r="A13" s="44" t="str">
        <x:v>Лимиты</x:v>
      </x:c>
      <x:c r="B13" s="44" t="str">
        <x:v>Активные задачи</x:v>
      </x:c>
      <x:c r="C13" s="44" t="str">
        <x:v>20</x:v>
      </x:c>
      <x:c r="D13" s="44" t="str">
        <x:v>100</x:v>
      </x:c>
      <x:c r="E13" s="44" t="str">
        <x:v>300</x:v>
      </x:c>
      <x:c r="F13" s="44" t="str">
        <x:v>1 000</x:v>
      </x:c>
      <x:c r="G13" s="44" t="str">
        <x:v>3 000</x:v>
      </x:c>
      <x:c r="H13" s="44" t="str">
        <x:v>10 000</x:v>
      </x:c>
      <x:c r="I13" s="44" t="str">
        <x:v>50 000</x:v>
      </x:c>
      <x:c r="J13" s="44" t="str">
        <x:v>по договору</x:v>
      </x:c>
    </x:row>
    <x:row r="14" ht="15" hidden="0" customHeight="1">
      <x:c r="A14" s="44" t="str">
        <x:v>Лимиты</x:v>
      </x:c>
      <x:c r="B14" s="44" t="str">
        <x:v>Папки / пространства</x:v>
      </x:c>
      <x:c r="C14" s="44" t="str">
        <x:v>1</x:v>
      </x:c>
      <x:c r="D14" s="44" t="str">
        <x:v>3</x:v>
      </x:c>
      <x:c r="E14" s="44" t="str">
        <x:v>10</x:v>
      </x:c>
      <x:c r="F14" s="44" t="str">
        <x:v>25</x:v>
      </x:c>
      <x:c r="G14" s="44" t="str">
        <x:v>75</x:v>
      </x:c>
      <x:c r="H14" s="44" t="str">
        <x:v>200</x:v>
      </x:c>
      <x:c r="I14" s="44" t="str">
        <x:v>500</x:v>
      </x:c>
      <x:c r="J14" s="44" t="str">
        <x:v>по договору</x:v>
      </x:c>
    </x:row>
    <x:row r="15" ht="15" hidden="0" customHeight="1">
      <x:c r="A15" s="44" t="str">
        <x:v>Лимиты</x:v>
      </x:c>
      <x:c r="B15" s="44" t="str">
        <x:v>Документы в базе знаний</x:v>
      </x:c>
      <x:c r="C15" s="44" t="str">
        <x:v>10</x:v>
      </x:c>
      <x:c r="D15" s="44" t="str">
        <x:v>50</x:v>
      </x:c>
      <x:c r="E15" s="44" t="str">
        <x:v>200</x:v>
      </x:c>
      <x:c r="F15" s="44" t="str">
        <x:v>500</x:v>
      </x:c>
      <x:c r="G15" s="44" t="str">
        <x:v>2 000</x:v>
      </x:c>
      <x:c r="H15" s="44" t="str">
        <x:v>10 000</x:v>
      </x:c>
      <x:c r="I15" s="44" t="str">
        <x:v>50 000</x:v>
      </x:c>
      <x:c r="J15" s="44" t="str">
        <x:v>по договору</x:v>
      </x:c>
    </x:row>
    <x:row r="16" ht="15" hidden="0" customHeight="1">
      <x:c r="A16" s="44" t="str">
        <x:v>Лимиты</x:v>
      </x:c>
      <x:c r="B16" s="44" t="str">
        <x:v>Договоры / этапы сделок в месяц</x:v>
      </x:c>
      <x:c r="C16" s="44" t="str">
        <x:v>—</x:v>
      </x:c>
      <x:c r="D16" s="44" t="str">
        <x:v>5</x:v>
      </x:c>
      <x:c r="E16" s="44" t="str">
        <x:v>20</x:v>
      </x:c>
      <x:c r="F16" s="44" t="str">
        <x:v>50</x:v>
      </x:c>
      <x:c r="G16" s="44" t="str">
        <x:v>150</x:v>
      </x:c>
      <x:c r="H16" s="44" t="str">
        <x:v>500</x:v>
      </x:c>
      <x:c r="I16" s="44" t="str">
        <x:v>2 000</x:v>
      </x:c>
      <x:c r="J16" s="44" t="str">
        <x:v>по договору</x:v>
      </x:c>
    </x:row>
    <x:row r="17" ht="15" hidden="0" customHeight="1">
      <x:c r="A17" s="44" t="str">
        <x:v>Лимиты</x:v>
      </x:c>
      <x:c r="B17" s="44" t="str">
        <x:v>Гостевые ссылки на этапы</x:v>
      </x:c>
      <x:c r="C17" s="44" t="str">
        <x:v>—</x:v>
      </x:c>
      <x:c r="D17" s="44" t="str">
        <x:v>10</x:v>
      </x:c>
      <x:c r="E17" s="44" t="str">
        <x:v>50</x:v>
      </x:c>
      <x:c r="F17" s="44" t="str">
        <x:v>150</x:v>
      </x:c>
      <x:c r="G17" s="44" t="str">
        <x:v>500</x:v>
      </x:c>
      <x:c r="H17" s="44" t="str">
        <x:v>2 000</x:v>
      </x:c>
      <x:c r="I17" s="44" t="str">
        <x:v>10 000</x:v>
      </x:c>
      <x:c r="J17" s="44" t="str">
        <x:v>по договору</x:v>
      </x:c>
    </x:row>
    <x:row r="18" ht="15" hidden="0" customHeight="1">
      <x:c r="A18" s="44" t="str">
        <x:v>Лимиты</x:v>
      </x:c>
      <x:c r="B18" s="44" t="str">
        <x:v>WhatsApp-уведомления / мес</x:v>
      </x:c>
      <x:c r="C18" s="44" t="str">
        <x:v>—</x:v>
      </x:c>
      <x:c r="D18" s="44" t="str">
        <x:v>20</x:v>
      </x:c>
      <x:c r="E18" s="44" t="str">
        <x:v>100</x:v>
      </x:c>
      <x:c r="F18" s="44" t="str">
        <x:v>300</x:v>
      </x:c>
      <x:c r="G18" s="44" t="str">
        <x:v>1 000</x:v>
      </x:c>
      <x:c r="H18" s="44" t="str">
        <x:v>3 000</x:v>
      </x:c>
      <x:c r="I18" s="44" t="str">
        <x:v>10 000</x:v>
      </x:c>
      <x:c r="J18" s="44" t="str">
        <x:v>по договору</x:v>
      </x:c>
    </x:row>
    <x:row r="19" ht="15" hidden="0" customHeight="1">
      <x:c r="A19" s="44" t="str">
        <x:v>Лимиты</x:v>
      </x:c>
      <x:c r="B19" s="44" t="str">
        <x:v>Финансовые триггеры / мес</x:v>
      </x:c>
      <x:c r="C19" s="44" t="str">
        <x:v>—</x:v>
      </x:c>
      <x:c r="D19" s="44" t="str">
        <x:v>—</x:v>
      </x:c>
      <x:c r="E19" s="44" t="str">
        <x:v>20</x:v>
      </x:c>
      <x:c r="F19" s="44" t="str">
        <x:v>100</x:v>
      </x:c>
      <x:c r="G19" s="44" t="str">
        <x:v>500</x:v>
      </x:c>
      <x:c r="H19" s="44" t="str">
        <x:v>2 000</x:v>
      </x:c>
      <x:c r="I19" s="44" t="str">
        <x:v>10 000</x:v>
      </x:c>
      <x:c r="J19" s="44" t="str">
        <x:v>по договору</x:v>
      </x:c>
    </x:row>
    <x:row r="20" ht="15" hidden="0" customHeight="1">
      <x:c r="A20" s="44" t="str">
        <x:v>Лимиты</x:v>
      </x:c>
      <x:c r="B20" s="44" t="str">
        <x:v>Хранение истории исполнения</x:v>
      </x:c>
      <x:c r="C20" s="44" t="str">
        <x:v>7 дней</x:v>
      </x:c>
      <x:c r="D20" s="44" t="str">
        <x:v>30 дней</x:v>
      </x:c>
      <x:c r="E20" s="44" t="str">
        <x:v>90 дней</x:v>
      </x:c>
      <x:c r="F20" s="44" t="str">
        <x:v>1 год</x:v>
      </x:c>
      <x:c r="G20" s="44" t="str">
        <x:v>3 года</x:v>
      </x:c>
      <x:c r="H20" s="44" t="str">
        <x:v>5 лет</x:v>
      </x:c>
      <x:c r="I20" s="44" t="str">
        <x:v>10 лет</x:v>
      </x:c>
      <x:c r="J20" s="44" t="str">
        <x:v>по договору</x:v>
      </x:c>
    </x:row>
    <x:row r="21" ht="15" hidden="0" customHeight="1">
      <x:c r="A21" s="44" t="str">
        <x:v>Лимиты</x:v>
      </x:c>
      <x:c r="B21" s="44" t="str">
        <x:v>Команды / компании</x:v>
      </x:c>
      <x:c r="C21" s="44" t="str">
        <x:v>1</x:v>
      </x:c>
      <x:c r="D21" s="44" t="str">
        <x:v>1</x:v>
      </x:c>
      <x:c r="E21" s="44" t="str">
        <x:v>1</x:v>
      </x:c>
      <x:c r="F21" s="44" t="str">
        <x:v>1</x:v>
      </x:c>
      <x:c r="G21" s="44" t="str">
        <x:v>до 3</x:v>
      </x:c>
      <x:c r="H21" s="44" t="str">
        <x:v>до 5</x:v>
      </x:c>
      <x:c r="I21" s="44" t="str">
        <x:v>до 20</x:v>
      </x:c>
      <x:c r="J21" s="44" t="str">
        <x:v>по договору</x:v>
      </x:c>
    </x:row>
    <x:row r="22" ht="15" hidden="0" customHeight="1">
      <x:c r="A22" s="50" t="str">
        <x:v>Функции</x:v>
      </x:c>
      <x:c r="B22" s="50" t="str">
        <x:v>SMART-цели и уточнение формулировки</x:v>
      </x:c>
      <x:c r="C22" s="50" t="str">
        <x:v>✓</x:v>
      </x:c>
      <x:c r="D22" s="50" t="str">
        <x:v>✓</x:v>
      </x:c>
      <x:c r="E22" s="50" t="str">
        <x:v>✓</x:v>
      </x:c>
      <x:c r="F22" s="50" t="str">
        <x:v>✓</x:v>
      </x:c>
      <x:c r="G22" s="50" t="str">
        <x:v>✓</x:v>
      </x:c>
      <x:c r="H22" s="50" t="str">
        <x:v>✓</x:v>
      </x:c>
      <x:c r="I22" s="50" t="str">
        <x:v>✓</x:v>
      </x:c>
      <x:c r="J22" s="50" t="str">
        <x:v>✓</x:v>
      </x:c>
    </x:row>
    <x:row r="23" ht="15" hidden="0" customHeight="1">
      <x:c r="A23" s="48" t="str">
        <x:v>Функции</x:v>
      </x:c>
      <x:c r="B23" s="48" t="str">
        <x:v>OKR / KPI по целям</x:v>
      </x:c>
      <x:c r="C23" s="48" t="str">
        <x:v>Просмотр</x:v>
      </x:c>
      <x:c r="D23" s="48" t="str">
        <x:v>✓</x:v>
      </x:c>
      <x:c r="E23" s="48" t="str">
        <x:v>✓</x:v>
      </x:c>
      <x:c r="F23" s="48" t="str">
        <x:v>✓</x:v>
      </x:c>
      <x:c r="G23" s="48" t="str">
        <x:v>✓</x:v>
      </x:c>
      <x:c r="H23" s="48" t="str">
        <x:v>✓</x:v>
      </x:c>
      <x:c r="I23" s="48" t="str">
        <x:v>✓</x:v>
      </x:c>
      <x:c r="J23" s="48" t="str">
        <x:v>✓</x:v>
      </x:c>
    </x:row>
    <x:row r="24" ht="15" hidden="0" customHeight="1">
      <x:c r="A24" s="48" t="str">
        <x:v>Функции</x:v>
      </x:c>
      <x:c r="B24" s="48" t="str">
        <x:v>Task Health: качество постановки задач</x:v>
      </x:c>
      <x:c r="C24" s="48" t="str">
        <x:v>Базово</x:v>
      </x:c>
      <x:c r="D24" s="48" t="str">
        <x:v>✓</x:v>
      </x:c>
      <x:c r="E24" s="48" t="str">
        <x:v>✓</x:v>
      </x:c>
      <x:c r="F24" s="48" t="str">
        <x:v>✓</x:v>
      </x:c>
      <x:c r="G24" s="48" t="str">
        <x:v>✓</x:v>
      </x:c>
      <x:c r="H24" s="48" t="str">
        <x:v>✓</x:v>
      </x:c>
      <x:c r="I24" s="48" t="str">
        <x:v>✓</x:v>
      </x:c>
      <x:c r="J24" s="48" t="str">
        <x:v>✓</x:v>
      </x:c>
    </x:row>
    <x:row r="25" ht="15" hidden="0" customHeight="1">
      <x:c r="A25" s="48" t="str">
        <x:v>Функции</x:v>
      </x:c>
      <x:c r="B25" s="48" t="str">
        <x:v>ICE-приоритизация задач</x:v>
      </x:c>
      <x:c r="C25" s="48" t="str">
        <x:v>—</x:v>
      </x:c>
      <x:c r="D25" s="48" t="str">
        <x:v>Базово</x:v>
      </x:c>
      <x:c r="E25" s="48" t="str">
        <x:v>✓</x:v>
      </x:c>
      <x:c r="F25" s="48" t="str">
        <x:v>✓</x:v>
      </x:c>
      <x:c r="G25" s="48" t="str">
        <x:v>✓</x:v>
      </x:c>
      <x:c r="H25" s="48" t="str">
        <x:v>✓</x:v>
      </x:c>
      <x:c r="I25" s="48" t="str">
        <x:v>✓</x:v>
      </x:c>
      <x:c r="J25" s="48" t="str">
        <x:v>✓</x:v>
      </x:c>
    </x:row>
    <x:row r="26" ht="15" hidden="0" customHeight="1">
      <x:c r="A26" s="48" t="str">
        <x:v>Функции</x:v>
      </x:c>
      <x:c r="B26" s="48" t="str">
        <x:v>Kanban и статусы исполнения</x:v>
      </x:c>
      <x:c r="C26" s="48" t="str">
        <x:v>✓</x:v>
      </x:c>
      <x:c r="D26" s="48" t="str">
        <x:v>✓</x:v>
      </x:c>
      <x:c r="E26" s="48" t="str">
        <x:v>✓</x:v>
      </x:c>
      <x:c r="F26" s="48" t="str">
        <x:v>✓</x:v>
      </x:c>
      <x:c r="G26" s="48" t="str">
        <x:v>✓</x:v>
      </x:c>
      <x:c r="H26" s="48" t="str">
        <x:v>✓</x:v>
      </x:c>
      <x:c r="I26" s="48" t="str">
        <x:v>✓</x:v>
      </x:c>
      <x:c r="J26" s="48" t="str">
        <x:v>✓</x:v>
      </x:c>
    </x:row>
    <x:row r="27" ht="15" hidden="0" customHeight="1">
      <x:c r="A27" s="48" t="str">
        <x:v>Функции</x:v>
      </x:c>
      <x:c r="B27" s="48" t="str">
        <x:v>Weekly Review по целям и задачам</x:v>
      </x:c>
      <x:c r="C27" s="48" t="str">
        <x:v>—</x:v>
      </x:c>
      <x:c r="D27" s="48" t="str">
        <x:v>—</x:v>
      </x:c>
      <x:c r="E27" s="48" t="str">
        <x:v>✓</x:v>
      </x:c>
      <x:c r="F27" s="48" t="str">
        <x:v>✓</x:v>
      </x:c>
      <x:c r="G27" s="48" t="str">
        <x:v>✓</x:v>
      </x:c>
      <x:c r="H27" s="48" t="str">
        <x:v>✓</x:v>
      </x:c>
      <x:c r="I27" s="48" t="str">
        <x:v>✓</x:v>
      </x:c>
      <x:c r="J27" s="48" t="str">
        <x:v>✓</x:v>
      </x:c>
    </x:row>
    <x:row r="28" ht="15" hidden="0" customHeight="1">
      <x:c r="A28" s="48" t="str">
        <x:v>Функции</x:v>
      </x:c>
      <x:c r="B28" s="48" t="str">
        <x:v>Evidence: доказательства выполнения</x:v>
      </x:c>
      <x:c r="C28" s="48" t="str">
        <x:v>Просмотр</x:v>
      </x:c>
      <x:c r="D28" s="48" t="str">
        <x:v>✓</x:v>
      </x:c>
      <x:c r="E28" s="48" t="str">
        <x:v>✓</x:v>
      </x:c>
      <x:c r="F28" s="48" t="str">
        <x:v>✓</x:v>
      </x:c>
      <x:c r="G28" s="48" t="str">
        <x:v>✓</x:v>
      </x:c>
      <x:c r="H28" s="48" t="str">
        <x:v>✓</x:v>
      </x:c>
      <x:c r="I28" s="48" t="str">
        <x:v>✓</x:v>
      </x:c>
      <x:c r="J28" s="48" t="str">
        <x:v>✓</x:v>
      </x:c>
    </x:row>
    <x:row r="29" ht="15" hidden="0" customHeight="1">
      <x:c r="A29" s="48" t="str">
        <x:v>Функции</x:v>
      </x:c>
      <x:c r="B29" s="48" t="str">
        <x:v>Acceptance Flow: приёмка результата</x:v>
      </x:c>
      <x:c r="C29" s="48" t="str">
        <x:v>—</x:v>
      </x:c>
      <x:c r="D29" s="48" t="str">
        <x:v>Базово</x:v>
      </x:c>
      <x:c r="E29" s="48" t="str">
        <x:v>✓</x:v>
      </x:c>
      <x:c r="F29" s="48" t="str">
        <x:v>✓</x:v>
      </x:c>
      <x:c r="G29" s="48" t="str">
        <x:v>✓</x:v>
      </x:c>
      <x:c r="H29" s="48" t="str">
        <x:v>✓</x:v>
      </x:c>
      <x:c r="I29" s="48" t="str">
        <x:v>✓</x:v>
      </x:c>
      <x:c r="J29" s="48" t="str">
        <x:v>✓</x:v>
      </x:c>
    </x:row>
    <x:row r="30" ht="26.399999618530273" hidden="0" customHeight="1">
      <x:c r="A30" s="48" t="str">
        <x:v>Функции</x:v>
      </x:c>
      <x:c r="B30" s="48" t="str">
        <x:v>Obligation OS: обязательства из договорённостей</x:v>
      </x:c>
      <x:c r="C30" s="48" t="str">
        <x:v>—</x:v>
      </x:c>
      <x:c r="D30" s="48" t="str">
        <x:v>—</x:v>
      </x:c>
      <x:c r="E30" s="48" t="str">
        <x:v>Базово</x:v>
      </x:c>
      <x:c r="F30" s="48" t="str">
        <x:v>✓</x:v>
      </x:c>
      <x:c r="G30" s="48" t="str">
        <x:v>✓</x:v>
      </x:c>
      <x:c r="H30" s="48" t="str">
        <x:v>✓</x:v>
      </x:c>
      <x:c r="I30" s="48" t="str">
        <x:v>✓</x:v>
      </x:c>
      <x:c r="J30" s="48" t="str">
        <x:v>✓</x:v>
      </x:c>
    </x:row>
    <x:row r="31" ht="15" hidden="0" customHeight="1">
      <x:c r="A31" s="48" t="str">
        <x:v>Функции</x:v>
      </x:c>
      <x:c r="B31" s="48" t="str">
        <x:v>Contract-to-Tasks: договор → задачи</x:v>
      </x:c>
      <x:c r="C31" s="48" t="str">
        <x:v>—</x:v>
      </x:c>
      <x:c r="D31" s="48" t="str">
        <x:v>—</x:v>
      </x:c>
      <x:c r="E31" s="48" t="str">
        <x:v>—</x:v>
      </x:c>
      <x:c r="F31" s="48" t="str">
        <x:v>Базово</x:v>
      </x:c>
      <x:c r="G31" s="48" t="str">
        <x:v>✓</x:v>
      </x:c>
      <x:c r="H31" s="48" t="str">
        <x:v>✓</x:v>
      </x:c>
      <x:c r="I31" s="48" t="str">
        <x:v>✓</x:v>
      </x:c>
      <x:c r="J31" s="48" t="str">
        <x:v>✓</x:v>
      </x:c>
    </x:row>
    <x:row r="32" ht="15" hidden="0" customHeight="1">
      <x:c r="A32" s="48" t="str">
        <x:v>Функции</x:v>
      </x:c>
      <x:c r="B32" s="48" t="str">
        <x:v>Quality-to-Payment: качество → оплата</x:v>
      </x:c>
      <x:c r="C32" s="48" t="str">
        <x:v>—</x:v>
      </x:c>
      <x:c r="D32" s="48" t="str">
        <x:v>—</x:v>
      </x:c>
      <x:c r="E32" s="48" t="str">
        <x:v>—</x:v>
      </x:c>
      <x:c r="F32" s="48" t="str">
        <x:v>—</x:v>
      </x:c>
      <x:c r="G32" s="48" t="str">
        <x:v>✓</x:v>
      </x:c>
      <x:c r="H32" s="48" t="str">
        <x:v>✓</x:v>
      </x:c>
      <x:c r="I32" s="48" t="str">
        <x:v>✓</x:v>
      </x:c>
      <x:c r="J32" s="48" t="str">
        <x:v>✓</x:v>
      </x:c>
    </x:row>
    <x:row r="33" ht="15" hidden="0" customHeight="1">
      <x:c r="A33" s="48" t="str">
        <x:v>Функции</x:v>
      </x:c>
      <x:c r="B33" s="48" t="str">
        <x:v>Spend Control: расходы ↔ результат</x:v>
      </x:c>
      <x:c r="C33" s="48" t="str">
        <x:v>—</x:v>
      </x:c>
      <x:c r="D33" s="48" t="str">
        <x:v>—</x:v>
      </x:c>
      <x:c r="E33" s="48" t="str">
        <x:v>—</x:v>
      </x:c>
      <x:c r="F33" s="48" t="str">
        <x:v>—</x:v>
      </x:c>
      <x:c r="G33" s="48" t="str">
        <x:v>Базово</x:v>
      </x:c>
      <x:c r="H33" s="48" t="str">
        <x:v>✓</x:v>
      </x:c>
      <x:c r="I33" s="48" t="str">
        <x:v>✓</x:v>
      </x:c>
      <x:c r="J33" s="48" t="str">
        <x:v>✓</x:v>
      </x:c>
    </x:row>
    <x:row r="34" ht="15" hidden="0" customHeight="1">
      <x:c r="A34" s="48" t="str">
        <x:v>Функции</x:v>
      </x:c>
      <x:c r="B34" s="48" t="str">
        <x:v>WhatsApp-ссылки директору / бухгалтеру</x:v>
      </x:c>
      <x:c r="C34" s="48" t="str">
        <x:v>—</x:v>
      </x:c>
      <x:c r="D34" s="48" t="str">
        <x:v>—</x:v>
      </x:c>
      <x:c r="E34" s="48" t="str">
        <x:v>Базово</x:v>
      </x:c>
      <x:c r="F34" s="48" t="str">
        <x:v>✓</x:v>
      </x:c>
      <x:c r="G34" s="48" t="str">
        <x:v>✓</x:v>
      </x:c>
      <x:c r="H34" s="48" t="str">
        <x:v>✓</x:v>
      </x:c>
      <x:c r="I34" s="48" t="str">
        <x:v>✓</x:v>
      </x:c>
      <x:c r="J34" s="48" t="str">
        <x:v>✓</x:v>
      </x:c>
    </x:row>
    <x:row r="35" ht="15" hidden="0" customHeight="1">
      <x:c r="A35" s="48" t="str">
        <x:v>Функции</x:v>
      </x:c>
      <x:c r="B35" s="48" t="str">
        <x:v>Гостевой доступ к закрытым этапам</x:v>
      </x:c>
      <x:c r="C35" s="48" t="str">
        <x:v>—</x:v>
      </x:c>
      <x:c r="D35" s="48" t="str">
        <x:v>—</x:v>
      </x:c>
      <x:c r="E35" s="48" t="str">
        <x:v>Базово</x:v>
      </x:c>
      <x:c r="F35" s="48" t="str">
        <x:v>✓</x:v>
      </x:c>
      <x:c r="G35" s="48" t="str">
        <x:v>✓</x:v>
      </x:c>
      <x:c r="H35" s="48" t="str">
        <x:v>✓</x:v>
      </x:c>
      <x:c r="I35" s="48" t="str">
        <x:v>✓</x:v>
      </x:c>
      <x:c r="J35" s="48" t="str">
        <x:v>✓</x:v>
      </x:c>
    </x:row>
    <x:row r="36" ht="15" hidden="0" customHeight="1">
      <x:c r="A36" s="48" t="str">
        <x:v>Функции</x:v>
      </x:c>
      <x:c r="B36" s="48" t="str">
        <x:v>Финансовые триггеры оплаты / актов</x:v>
      </x:c>
      <x:c r="C36" s="48" t="str">
        <x:v>—</x:v>
      </x:c>
      <x:c r="D36" s="48" t="str">
        <x:v>—</x:v>
      </x:c>
      <x:c r="E36" s="48" t="str">
        <x:v>—</x:v>
      </x:c>
      <x:c r="F36" s="48" t="str">
        <x:v>Базово</x:v>
      </x:c>
      <x:c r="G36" s="48" t="str">
        <x:v>✓</x:v>
      </x:c>
      <x:c r="H36" s="48" t="str">
        <x:v>✓</x:v>
      </x:c>
      <x:c r="I36" s="48" t="str">
        <x:v>✓</x:v>
      </x:c>
      <x:c r="J36" s="48" t="str">
        <x:v>✓</x:v>
      </x:c>
    </x:row>
    <x:row r="37" ht="15" hidden="0" customHeight="1">
      <x:c r="A37" s="48" t="str">
        <x:v>Функции</x:v>
      </x:c>
      <x:c r="B37" s="48" t="str">
        <x:v>Sharia Risk Flags: риск риба/гарар</x:v>
      </x:c>
      <x:c r="C37" s="48" t="str">
        <x:v>—</x:v>
      </x:c>
      <x:c r="D37" s="48" t="str">
        <x:v>—</x:v>
      </x:c>
      <x:c r="E37" s="48" t="str">
        <x:v>—</x:v>
      </x:c>
      <x:c r="F37" s="48" t="str">
        <x:v>—</x:v>
      </x:c>
      <x:c r="G37" s="48" t="str">
        <x:v>Базово</x:v>
      </x:c>
      <x:c r="H37" s="48" t="str">
        <x:v>✓</x:v>
      </x:c>
      <x:c r="I37" s="48" t="str">
        <x:v>✓</x:v>
      </x:c>
      <x:c r="J37" s="48" t="str">
        <x:v>✓</x:v>
      </x:c>
    </x:row>
    <x:row r="38" ht="26.399999618530273" hidden="0" customHeight="1">
      <x:c r="A38" s="48" t="str">
        <x:v>Функции</x:v>
      </x:c>
      <x:c r="B38" s="48" t="str">
        <x:v>Matching исполнителей по данным исполнения</x:v>
      </x:c>
      <x:c r="C38" s="48" t="str">
        <x:v>—</x:v>
      </x:c>
      <x:c r="D38" s="48" t="str">
        <x:v>—</x:v>
      </x:c>
      <x:c r="E38" s="48" t="str">
        <x:v>—</x:v>
      </x:c>
      <x:c r="F38" s="48" t="str">
        <x:v>—</x:v>
      </x:c>
      <x:c r="G38" s="48" t="str">
        <x:v>—</x:v>
      </x:c>
      <x:c r="H38" s="48" t="str">
        <x:v>Пилот</x:v>
      </x:c>
      <x:c r="I38" s="48" t="str">
        <x:v>✓</x:v>
      </x:c>
      <x:c r="J38" s="48" t="str">
        <x:v>✓</x:v>
      </x:c>
    </x:row>
    <x:row r="39" ht="15" hidden="0" customHeight="1">
      <x:c r="A39" s="48" t="str">
        <x:v>Функции</x:v>
      </x:c>
      <x:c r="B39" s="48" t="str">
        <x:v>Safe Deal / BaaS через партнёра</x:v>
      </x:c>
      <x:c r="C39" s="48" t="str">
        <x:v>—</x:v>
      </x:c>
      <x:c r="D39" s="48" t="str">
        <x:v>—</x:v>
      </x:c>
      <x:c r="E39" s="48" t="str">
        <x:v>—</x:v>
      </x:c>
      <x:c r="F39" s="48" t="str">
        <x:v>—</x:v>
      </x:c>
      <x:c r="G39" s="48" t="str">
        <x:v>—</x:v>
      </x:c>
      <x:c r="H39" s="48" t="str">
        <x:v>Пилот</x:v>
      </x:c>
      <x:c r="I39" s="48" t="str">
        <x:v>Партнёр</x:v>
      </x:c>
      <x:c r="J39" s="48" t="str">
        <x:v>Партнёр</x:v>
      </x:c>
    </x:row>
    <x:row r="40" ht="15" hidden="0" customHeight="1">
      <x:c r="A40" s="48" t="str">
        <x:v>Функции</x:v>
      </x:c>
      <x:c r="B40" s="48" t="str">
        <x:v>API и интеграции</x:v>
      </x:c>
      <x:c r="C40" s="48" t="str">
        <x:v>—</x:v>
      </x:c>
      <x:c r="D40" s="48" t="str">
        <x:v>—</x:v>
      </x:c>
      <x:c r="E40" s="48" t="str">
        <x:v>—</x:v>
      </x:c>
      <x:c r="F40" s="48" t="str">
        <x:v>Базово</x:v>
      </x:c>
      <x:c r="G40" s="48" t="str">
        <x:v>✓</x:v>
      </x:c>
      <x:c r="H40" s="48" t="str">
        <x:v>✓</x:v>
      </x:c>
      <x:c r="I40" s="48" t="str">
        <x:v>✓</x:v>
      </x:c>
      <x:c r="J40" s="48" t="str">
        <x:v>✓</x:v>
      </x:c>
    </x:row>
    <x:row r="41" ht="15" hidden="0" customHeight="1">
      <x:c r="A41" s="48" t="str">
        <x:v>Функции</x:v>
      </x:c>
      <x:c r="B41" s="48" t="str">
        <x:v>Кастомные AI-агенты и правила</x:v>
      </x:c>
      <x:c r="C41" s="48" t="str">
        <x:v>—</x:v>
      </x:c>
      <x:c r="D41" s="48" t="str">
        <x:v>—</x:v>
      </x:c>
      <x:c r="E41" s="48" t="str">
        <x:v>—</x:v>
      </x:c>
      <x:c r="F41" s="48" t="str">
        <x:v>—</x:v>
      </x:c>
      <x:c r="G41" s="48" t="str">
        <x:v>Базово</x:v>
      </x:c>
      <x:c r="H41" s="48" t="str">
        <x:v>✓</x:v>
      </x:c>
      <x:c r="I41" s="48" t="str">
        <x:v>✓</x:v>
      </x:c>
      <x:c r="J41" s="48" t="str">
        <x:v>✓</x:v>
      </x:c>
    </x:row>
    <x:row r="42" ht="15" hidden="0" customHeight="1">
      <x:c r="A42" s="48" t="str">
        <x:v>Функции</x:v>
      </x:c>
      <x:c r="B42" s="48" t="str">
        <x:v>Межкомпанийные benchmark-отчёты</x:v>
      </x:c>
      <x:c r="C42" s="48" t="str">
        <x:v>—</x:v>
      </x:c>
      <x:c r="D42" s="48" t="str">
        <x:v>—</x:v>
      </x:c>
      <x:c r="E42" s="48" t="str">
        <x:v>—</x:v>
      </x:c>
      <x:c r="F42" s="48" t="str">
        <x:v>—</x:v>
      </x:c>
      <x:c r="G42" s="48" t="str">
        <x:v>—</x:v>
      </x:c>
      <x:c r="H42" s="48" t="str">
        <x:v>—</x:v>
      </x:c>
      <x:c r="I42" s="48" t="str">
        <x:v>Пилот</x:v>
      </x:c>
      <x:c r="J42" s="48" t="str">
        <x:v>✓</x:v>
      </x:c>
    </x:row>
    <x:row r="43" ht="15" hidden="0" customHeight="1">
      <x:c r="A43" s="48" t="str">
        <x:v>Функции</x:v>
      </x:c>
      <x:c r="B43" s="48" t="str">
        <x:v>Выделенное сопровождение</x:v>
      </x:c>
      <x:c r="C43" s="48" t="str">
        <x:v>—</x:v>
      </x:c>
      <x:c r="D43" s="48" t="str">
        <x:v>—</x:v>
      </x:c>
      <x:c r="E43" s="48" t="str">
        <x:v>—</x:v>
      </x:c>
      <x:c r="F43" s="48" t="str">
        <x:v>—</x:v>
      </x:c>
      <x:c r="G43" s="48" t="str">
        <x:v>—</x:v>
      </x:c>
      <x:c r="H43" s="48" t="str">
        <x:v>✓</x:v>
      </x:c>
      <x:c r="I43" s="48" t="str">
        <x:v>✓</x:v>
      </x:c>
      <x:c r="J43" s="48" t="str">
        <x:v>✓</x:v>
      </x:c>
    </x:row>
    <x:row r="44" ht="15" hidden="0" customHeight="1">
      <x:c r="A44" s="54" t="str">
        <x:v>Пакеты решений</x:v>
      </x:c>
      <x:c r="B44" s="54" t="str">
        <x:v>Goals Execution: цели → KPI → задачи</x:v>
      </x:c>
      <x:c r="C44" s="54" t="str">
        <x:v>Просмотр</x:v>
      </x:c>
      <x:c r="D44" s="54" t="str">
        <x:v>Базово</x:v>
      </x:c>
      <x:c r="E44" s="54" t="str">
        <x:v>✓</x:v>
      </x:c>
      <x:c r="F44" s="54" t="str">
        <x:v>✓</x:v>
      </x:c>
      <x:c r="G44" s="54" t="str">
        <x:v>✓</x:v>
      </x:c>
      <x:c r="H44" s="54" t="str">
        <x:v>✓</x:v>
      </x:c>
      <x:c r="I44" s="54" t="str">
        <x:v>✓</x:v>
      </x:c>
      <x:c r="J44" s="54" t="str">
        <x:v>✓</x:v>
      </x:c>
    </x:row>
    <x:row r="45" ht="26.399999618530273" hidden="0" customHeight="1">
      <x:c r="A45" s="52" t="str">
        <x:v>Пакеты решений</x:v>
      </x:c>
      <x:c r="B45" s="52" t="str">
        <x:v>Team Coordination: роли, статусы, контроль</x:v>
      </x:c>
      <x:c r="C45" s="52" t="str">
        <x:v>Просмотр</x:v>
      </x:c>
      <x:c r="D45" s="52" t="str">
        <x:v>Базово</x:v>
      </x:c>
      <x:c r="E45" s="52" t="str">
        <x:v>✓</x:v>
      </x:c>
      <x:c r="F45" s="52" t="str">
        <x:v>✓</x:v>
      </x:c>
      <x:c r="G45" s="52" t="str">
        <x:v>✓</x:v>
      </x:c>
      <x:c r="H45" s="52" t="str">
        <x:v>✓</x:v>
      </x:c>
      <x:c r="I45" s="52" t="str">
        <x:v>✓</x:v>
      </x:c>
      <x:c r="J45" s="52" t="str">
        <x:v>✓</x:v>
      </x:c>
    </x:row>
    <x:row r="46" ht="26.399999618530273" hidden="0" customHeight="1">
      <x:c r="A46" s="52" t="str">
        <x:v>Пакеты решений</x:v>
      </x:c>
      <x:c r="B46" s="52" t="str">
        <x:v>Obligation OS: обязательства из чатов/встреч/договоров</x:v>
      </x:c>
      <x:c r="C46" s="52" t="str">
        <x:v>—</x:v>
      </x:c>
      <x:c r="D46" s="52" t="str">
        <x:v>—</x:v>
      </x:c>
      <x:c r="E46" s="52" t="str">
        <x:v>Базово</x:v>
      </x:c>
      <x:c r="F46" s="52" t="str">
        <x:v>✓</x:v>
      </x:c>
      <x:c r="G46" s="52" t="str">
        <x:v>✓</x:v>
      </x:c>
      <x:c r="H46" s="52" t="str">
        <x:v>✓</x:v>
      </x:c>
      <x:c r="I46" s="52" t="str">
        <x:v>✓</x:v>
      </x:c>
      <x:c r="J46" s="52" t="str">
        <x:v>✓</x:v>
      </x:c>
    </x:row>
    <x:row r="47" ht="26.399999618530273" hidden="0" customHeight="1">
      <x:c r="A47" s="52" t="str">
        <x:v>Пакеты решений</x:v>
      </x:c>
      <x:c r="B47" s="52" t="str">
        <x:v>Contract Execution: договор → этапы → задачи</x:v>
      </x:c>
      <x:c r="C47" s="52" t="str">
        <x:v>—</x:v>
      </x:c>
      <x:c r="D47" s="52" t="str">
        <x:v>—</x:v>
      </x:c>
      <x:c r="E47" s="52" t="str">
        <x:v>—</x:v>
      </x:c>
      <x:c r="F47" s="52" t="str">
        <x:v>Базово</x:v>
      </x:c>
      <x:c r="G47" s="52" t="str">
        <x:v>✓</x:v>
      </x:c>
      <x:c r="H47" s="52" t="str">
        <x:v>✓</x:v>
      </x:c>
      <x:c r="I47" s="52" t="str">
        <x:v>✓</x:v>
      </x:c>
      <x:c r="J47" s="52" t="str">
        <x:v>✓</x:v>
      </x:c>
    </x:row>
    <x:row r="48" ht="15" hidden="0" customHeight="1">
      <x:c r="A48" s="52" t="str">
        <x:v>Пакеты решений</x:v>
      </x:c>
      <x:c r="B48" s="52" t="str">
        <x:v>Quality-to-Payment: приёмка и оплата</x:v>
      </x:c>
      <x:c r="C48" s="52" t="str">
        <x:v>—</x:v>
      </x:c>
      <x:c r="D48" s="52" t="str">
        <x:v>—</x:v>
      </x:c>
      <x:c r="E48" s="52" t="str">
        <x:v>—</x:v>
      </x:c>
      <x:c r="F48" s="52" t="str">
        <x:v>—</x:v>
      </x:c>
      <x:c r="G48" s="52" t="str">
        <x:v>Базово</x:v>
      </x:c>
      <x:c r="H48" s="52" t="str">
        <x:v>✓</x:v>
      </x:c>
      <x:c r="I48" s="52" t="str">
        <x:v>✓</x:v>
      </x:c>
      <x:c r="J48" s="52" t="str">
        <x:v>✓</x:v>
      </x:c>
    </x:row>
    <x:row r="49" ht="26.399999618530273" hidden="0" customHeight="1">
      <x:c r="A49" s="52" t="str">
        <x:v>Пакеты решений</x:v>
      </x:c>
      <x:c r="B49" s="52" t="str">
        <x:v>Spend Control: контроль расходов и результата</x:v>
      </x:c>
      <x:c r="C49" s="52" t="str">
        <x:v>—</x:v>
      </x:c>
      <x:c r="D49" s="52" t="str">
        <x:v>—</x:v>
      </x:c>
      <x:c r="E49" s="52" t="str">
        <x:v>—</x:v>
      </x:c>
      <x:c r="F49" s="52" t="str">
        <x:v>—</x:v>
      </x:c>
      <x:c r="G49" s="52" t="str">
        <x:v>Базово</x:v>
      </x:c>
      <x:c r="H49" s="52" t="str">
        <x:v>✓</x:v>
      </x:c>
      <x:c r="I49" s="52" t="str">
        <x:v>✓</x:v>
      </x:c>
      <x:c r="J49" s="52" t="str">
        <x:v>✓</x:v>
      </x:c>
    </x:row>
    <x:row r="50" ht="26.399999618530273" hidden="0" customHeight="1">
      <x:c r="A50" s="52" t="str">
        <x:v>Пакеты решений</x:v>
      </x:c>
      <x:c r="B50" s="52" t="str">
        <x:v>Work-to-Cash: работа → акт → счёт → оплата</x:v>
      </x:c>
      <x:c r="C50" s="52" t="str">
        <x:v>—</x:v>
      </x:c>
      <x:c r="D50" s="52" t="str">
        <x:v>—</x:v>
      </x:c>
      <x:c r="E50" s="52" t="str">
        <x:v>—</x:v>
      </x:c>
      <x:c r="F50" s="52" t="str">
        <x:v>—</x:v>
      </x:c>
      <x:c r="G50" s="52" t="str">
        <x:v>Базово</x:v>
      </x:c>
      <x:c r="H50" s="52" t="str">
        <x:v>✓</x:v>
      </x:c>
      <x:c r="I50" s="52" t="str">
        <x:v>✓</x:v>
      </x:c>
      <x:c r="J50" s="52" t="str">
        <x:v>✓</x:v>
      </x:c>
    </x:row>
    <x:row r="51" ht="26.399999618530273" hidden="0" customHeight="1">
      <x:c r="A51" s="52" t="str">
        <x:v>Пакеты решений</x:v>
      </x:c>
      <x:c r="B51" s="52" t="str">
        <x:v>Sharia-aware workflows: халяль-фильтр сделок</x:v>
      </x:c>
      <x:c r="C51" s="52" t="str">
        <x:v>—</x:v>
      </x:c>
      <x:c r="D51" s="52" t="str">
        <x:v>—</x:v>
      </x:c>
      <x:c r="E51" s="52" t="str">
        <x:v>—</x:v>
      </x:c>
      <x:c r="F51" s="52" t="str">
        <x:v>—</x:v>
      </x:c>
      <x:c r="G51" s="52" t="str">
        <x:v>Риск-флаги</x:v>
      </x:c>
      <x:c r="H51" s="52" t="str">
        <x:v>✓</x:v>
      </x:c>
      <x:c r="I51" s="52" t="str">
        <x:v>✓</x:v>
      </x:c>
      <x:c r="J51" s="52" t="str">
        <x:v>✓</x:v>
      </x:c>
    </x:row>
    <x:row r="52" ht="26.399999618530273" hidden="0" customHeight="1">
      <x:c r="A52" s="52" t="str">
        <x:v>Пакеты решений</x:v>
      </x:c>
      <x:c r="B52" s="52" t="str">
        <x:v>Safe Deal: предоплата у партнёра → постоплата исполнителю</x:v>
      </x:c>
      <x:c r="C52" s="52" t="str">
        <x:v>—</x:v>
      </x:c>
      <x:c r="D52" s="52" t="str">
        <x:v>—</x:v>
      </x:c>
      <x:c r="E52" s="52" t="str">
        <x:v>—</x:v>
      </x:c>
      <x:c r="F52" s="52" t="str">
        <x:v>—</x:v>
      </x:c>
      <x:c r="G52" s="52" t="str">
        <x:v>—</x:v>
      </x:c>
      <x:c r="H52" s="52" t="str">
        <x:v>Пилот</x:v>
      </x:c>
      <x:c r="I52" s="52" t="str">
        <x:v>Партнёр</x:v>
      </x:c>
      <x:c r="J52" s="52" t="str">
        <x:v>Партнёр</x:v>
      </x:c>
    </x:row>
    <x:row r="53" ht="26.399999618530273" hidden="0" customHeight="1">
      <x:c r="A53" s="52" t="str">
        <x:v>Пакеты решений</x:v>
      </x:c>
      <x:c r="B53" s="52" t="str">
        <x:v>Marketplace / Matching: подбор исполнителей</x:v>
      </x:c>
      <x:c r="C53" s="52" t="str">
        <x:v>—</x:v>
      </x:c>
      <x:c r="D53" s="52" t="str">
        <x:v>—</x:v>
      </x:c>
      <x:c r="E53" s="52" t="str">
        <x:v>—</x:v>
      </x:c>
      <x:c r="F53" s="52" t="str">
        <x:v>—</x:v>
      </x:c>
      <x:c r="G53" s="52" t="str">
        <x:v>—</x:v>
      </x:c>
      <x:c r="H53" s="52" t="str">
        <x:v>Пилот</x:v>
      </x:c>
      <x:c r="I53" s="52" t="str">
        <x:v>✓</x:v>
      </x:c>
      <x:c r="J53" s="52" t="str">
        <x:v>✓</x:v>
      </x:c>
    </x:row>
    <x:row r="54" ht="26.399999618530273" hidden="0" customHeight="1">
      <x:c r="A54" s="58" t="str">
        <x:v>Примечания</x:v>
      </x:c>
      <x:c r="B54" s="58" t="str">
        <x:v>Финтех, Safe Deal, BaaS</x:v>
      </x:c>
      <x:c r="C54" s="58" t="str">
        <x:v>—</x:v>
      </x:c>
      <x:c r="D54" s="58" t="str">
        <x:v>—</x:v>
      </x:c>
      <x:c r="E54" s="58" t="str">
        <x:v>—</x:v>
      </x:c>
      <x:c r="F54" s="58" t="str">
        <x:v>—</x:v>
      </x:c>
      <x:c r="G54" s="58" t="str">
        <x:v>только подготовка данных</x:v>
      </x:c>
      <x:c r="H54" s="58" t="str">
        <x:v>через партнёра</x:v>
      </x:c>
      <x:c r="I54" s="58" t="str">
        <x:v>через партнёра</x:v>
      </x:c>
      <x:c r="J54" s="58" t="str">
        <x:v>через партнёра / отдельный договор</x:v>
      </x:c>
    </x:row>
    <x:row r="55" ht="15" hidden="0" customHeight="1">
      <x:c r="A55" s="56" t="str">
        <x:v>Примечания</x:v>
      </x:c>
      <x:c r="B55" s="56" t="str">
        <x:v>Шариатская проверка</x:v>
      </x:c>
      <x:c r="C55" s="56" t="str">
        <x:v>—</x:v>
      </x:c>
      <x:c r="D55" s="56" t="str">
        <x:v>—</x:v>
      </x:c>
      <x:c r="E55" s="56" t="str">
        <x:v>—</x:v>
      </x:c>
      <x:c r="F55" s="56" t="str">
        <x:v>—</x:v>
      </x:c>
      <x:c r="G55" s="56" t="str">
        <x:v>риск-флаги</x:v>
      </x:c>
      <x:c r="H55" s="56" t="str">
        <x:v>риск-флаги + эксперт</x:v>
      </x:c>
      <x:c r="I55" s="56" t="str">
        <x:v>эксперт / совет</x:v>
      </x:c>
      <x:c r="J55" s="56" t="str">
        <x:v>эксперт / совет</x:v>
      </x:c>
    </x:row>
    <x:row r="56" ht="15" hidden="0" customHeight="1">
      <x:c r="A56" s="56" t="str">
        <x:v>Примечания</x:v>
      </x:c>
      <x:c r="B56" s="56" t="str">
        <x:v>WhatsApp-лимиты</x:v>
      </x:c>
      <x:c r="C56" s="56" t="str">
        <x:v>—</x:v>
      </x:c>
      <x:c r="D56" s="56" t="str">
        <x:v>зависят от провайдера</x:v>
      </x:c>
      <x:c r="E56" s="56" t="str">
        <x:v>зависят от провайдера</x:v>
      </x:c>
      <x:c r="F56" s="56" t="str">
        <x:v>зависят от провайдера</x:v>
      </x:c>
      <x:c r="G56" s="56" t="str">
        <x:v>зависят от провайдера</x:v>
      </x:c>
      <x:c r="H56" s="56" t="str">
        <x:v>зависят от провайдера</x:v>
      </x:c>
      <x:c r="I56" s="56" t="str">
        <x:v>по договору</x:v>
      </x:c>
      <x:c r="J56" s="56" t="str">
        <x:v>по договору</x:v>
      </x:c>
    </x:row>
  </x:sheetData>
  <x:mergeCells>
    <x:mergeCell ref="A1:J1"/>
    <x:mergeCell ref="C2:J2"/>
  </x:mergeCells>
  <x:conditionalFormatting sqref="C4:J56">
    <x:cfRule type="expression" dxfId="0" priority="1">
      <x:formula>C4="✓"</x:formula>
    </x:cfRule>
    <x:cfRule type="expression" dxfId="1" priority="2">
      <x:formula>C4="—"</x:formula>
    </x:cfRule>
    <x:cfRule type="expression" dxfId="2" priority="3">
      <x:formula>C4="Базово"</x:formula>
    </x:cfRule>
    <x:cfRule type="expression" dxfId="3" priority="4">
      <x:formula>C4="Пилот"</x:formula>
    </x:cfRule>
    <x:cfRule type="expression" dxfId="4" priority="5">
      <x:formula>C4="Партнёр"</x:formula>
    </x:cfRule>
  </x:conditionalFormatting>
  <x:pageMargins left="0.7" right="0.7" top="0.75" bottom="0.75" header="0.3" footer="0.3"/>
</x:worksheet>
</file>